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queryTables/queryTable1.xml" ContentType="application/vnd.openxmlformats-officedocument.spreadsheetml.query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85" documentId="13_ncr:1_{10A74615-58A8-4AE6-AFC1-9E8146531E09}" xr6:coauthVersionLast="47" xr6:coauthVersionMax="47" xr10:uidLastSave="{FA883397-96A1-473E-BABA-A70039857EC2}"/>
  <bookViews>
    <workbookView xWindow="6045" yWindow="3735" windowWidth="30975" windowHeight="16380" xr2:uid="{00000000-000D-0000-FFFF-FFFF00000000}"/>
  </bookViews>
  <sheets>
    <sheet name="wp" sheetId="1" r:id="rId1"/>
    <sheet name="wind" sheetId="3" r:id="rId2"/>
    <sheet name="spectrum" sheetId="7" state="hidden" r:id="rId3"/>
    <sheet name="settings" sheetId="2" state="hidden" r:id="rId4"/>
    <sheet name="atmo_lin" sheetId="9" r:id="rId5"/>
    <sheet name="ac_state" sheetId="8" r:id="rId6"/>
  </sheets>
  <definedNames>
    <definedName name="Terzband_33" localSheetId="2">spectrum!$A$2:$C$34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9" l="1"/>
  <c r="D4" i="9"/>
  <c r="D5" i="9"/>
  <c r="D6" i="9"/>
  <c r="D7" i="9"/>
  <c r="D8" i="9"/>
  <c r="D2" i="9"/>
  <c r="D12" i="3" l="1"/>
  <c r="D11" i="3" l="1"/>
  <c r="D10" i="3"/>
  <c r="D9" i="3"/>
  <c r="D8" i="3"/>
  <c r="D7" i="3"/>
  <c r="D6" i="3"/>
  <c r="D5" i="3"/>
  <c r="D4" i="3"/>
  <c r="D3" i="3"/>
  <c r="D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2000000}" name="Terzband_33" type="6" refreshedVersion="4" background="1" saveData="1">
    <textPr codePage="850" sourceFile="H:\A\Aircraft_Noise\41 - Software Noise Footprints\V 7.1 - 20170906 - Johannes Walter\INPUT\Terzband_33.txt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<sst xmlns="http://schemas.openxmlformats.org/spreadsheetml/2006/main" count="38" uniqueCount="36">
  <si>
    <t>Sim.-Step:</t>
  </si>
  <si>
    <t>[s]</t>
  </si>
  <si>
    <t>Windstärke [m/s]</t>
  </si>
  <si>
    <t>Windfunktion</t>
  </si>
  <si>
    <t>Höhe [m]</t>
  </si>
  <si>
    <t>Aktualisierungsrate für die Flugzeugposition über den Flugpfad, steuert zusätzlich die Schrittweite der Immissionslärmspeicherung</t>
  </si>
  <si>
    <t>Beta:</t>
  </si>
  <si>
    <t>Windrichtung in Grad bzgl. der Koordinaten x-Achse</t>
  </si>
  <si>
    <t>Windfunktion:</t>
  </si>
  <si>
    <t>Wird nicht eingelesen, dient zum Vergleich</t>
  </si>
  <si>
    <t>time [s]</t>
  </si>
  <si>
    <t>x [m]</t>
  </si>
  <si>
    <t>y [m]</t>
  </si>
  <si>
    <t>z [m]</t>
  </si>
  <si>
    <t>Terz_Mittenfrequenz [Hz]</t>
  </si>
  <si>
    <t>Obere Grenze [Hz]</t>
  </si>
  <si>
    <t>Untere Grenze [Hz]</t>
  </si>
  <si>
    <t>Aircraft starting point</t>
  </si>
  <si>
    <t>latitude</t>
  </si>
  <si>
    <t>longitude</t>
  </si>
  <si>
    <t>height</t>
  </si>
  <si>
    <t>heading</t>
  </si>
  <si>
    <t>Terrain Size:</t>
  </si>
  <si>
    <t>[-]</t>
  </si>
  <si>
    <t>Abmessung des zu berechnenden Geländes in Anzahl von Gitterkanten; Quadratische Form</t>
  </si>
  <si>
    <t>[m]</t>
  </si>
  <si>
    <t>Zellgröße des eingelesenen Geländeprofils</t>
  </si>
  <si>
    <t>Terrain_Cell:</t>
  </si>
  <si>
    <t>μ</t>
  </si>
  <si>
    <t>γ</t>
  </si>
  <si>
    <t>thrust</t>
  </si>
  <si>
    <t>comp_rpm</t>
  </si>
  <si>
    <t>Richtung [ TrueNorth in deg ]</t>
  </si>
  <si>
    <t>humidity [g/m³]</t>
  </si>
  <si>
    <t>temp [K]</t>
  </si>
  <si>
    <t>rel.humidity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</si>
</sst>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2" borderId="4" xfId="0" applyFill="1" applyBorder="1"/>
    <xf numFmtId="0" fontId="0" fillId="4" borderId="5" xfId="0" applyFill="1" applyBorder="1"/>
    <xf numFmtId="0" fontId="0" fillId="5" borderId="5" xfId="0" applyFill="1" applyBorder="1"/>
    <xf numFmtId="0" fontId="0" fillId="2" borderId="7" xfId="0" applyFill="1" applyBorder="1" applyAlignment="1">
      <alignment horizontal="right"/>
    </xf>
    <xf numFmtId="0" fontId="0" fillId="4" borderId="8" xfId="0" applyFill="1" applyBorder="1" applyAlignment="1">
      <alignment horizontal="center"/>
    </xf>
    <xf numFmtId="0" fontId="0" fillId="5" borderId="8" xfId="0" applyFill="1" applyBorder="1"/>
    <xf numFmtId="0" fontId="0" fillId="0" borderId="6" xfId="0" applyBorder="1"/>
    <xf numFmtId="0" fontId="0" fillId="6" borderId="6" xfId="0" applyFill="1" applyBorder="1"/>
    <xf numFmtId="0" fontId="1" fillId="6" borderId="9" xfId="0" applyFont="1" applyFill="1" applyBorder="1"/>
    <xf numFmtId="0" fontId="1" fillId="6" borderId="6" xfId="0" applyFont="1" applyFill="1" applyBorder="1"/>
    <xf numFmtId="0" fontId="0" fillId="2" borderId="11" xfId="0" applyFill="1" applyBorder="1" applyAlignment="1">
      <alignment horizontal="right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5" borderId="12" xfId="0" applyFill="1" applyBorder="1"/>
    <xf numFmtId="0" fontId="1" fillId="6" borderId="10" xfId="0" applyFont="1" applyFill="1" applyBorder="1"/>
    <xf numFmtId="0" fontId="0" fillId="0" borderId="10" xfId="0" applyBorder="1"/>
    <xf numFmtId="0" fontId="3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8" borderId="0" xfId="0" applyNumberFormat="1" applyFill="1" applyAlignment="1">
      <alignment horizontal="center"/>
    </xf>
    <xf numFmtId="2" fontId="0" fillId="9" borderId="0" xfId="0" applyNumberFormat="1" applyFill="1" applyAlignment="1">
      <alignment horizontal="center"/>
    </xf>
    <xf numFmtId="0" fontId="0" fillId="0" borderId="1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2" xfId="0" applyBorder="1" applyAlignment="1">
      <alignment horizontal="right"/>
    </xf>
    <xf numFmtId="0" fontId="0" fillId="0" borderId="15" xfId="0" applyBorder="1"/>
    <xf numFmtId="0" fontId="0" fillId="0" borderId="21" xfId="0" applyBorder="1"/>
    <xf numFmtId="0" fontId="0" fillId="0" borderId="14" xfId="0" applyBorder="1"/>
    <xf numFmtId="0" fontId="0" fillId="0" borderId="1" xfId="0" applyBorder="1"/>
    <xf numFmtId="0" fontId="0" fillId="0" borderId="16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2668847120297312E-2"/>
          <c:y val="5.4523621943241452E-2"/>
          <c:w val="0.92181414495962877"/>
          <c:h val="0.89355750401024936"/>
        </c:manualLayout>
      </c:layout>
      <c:scatterChart>
        <c:scatterStyle val="lineMarker"/>
        <c:varyColors val="0"/>
        <c:ser>
          <c:idx val="0"/>
          <c:order val="0"/>
          <c:xVal>
            <c:numRef>
              <c:f>wp!$B$2:$B$18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wp!$C$2:$C$18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AF-46BD-B045-94834E81B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57312"/>
        <c:axId val="122188160"/>
      </c:scatterChart>
      <c:valAx>
        <c:axId val="122157312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X-Achse [m]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188160"/>
        <c:crosses val="autoZero"/>
        <c:crossBetween val="midCat"/>
        <c:majorUnit val="100"/>
      </c:valAx>
      <c:valAx>
        <c:axId val="1221881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de-DE"/>
                  <a:t>Y-Achse [m]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157312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wp!$B$4:$B$18</c:f>
              <c:numCache>
                <c:formatCode>General</c:formatCode>
                <c:ptCount val="15"/>
              </c:numCache>
            </c:numRef>
          </c:xVal>
          <c:yVal>
            <c:numRef>
              <c:f>wp!$D$4:$D$18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50-4B73-8FB9-7725F7115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20544"/>
        <c:axId val="122222464"/>
      </c:scatterChart>
      <c:valAx>
        <c:axId val="122220544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X-Achse [m]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222464"/>
        <c:crosses val="autoZero"/>
        <c:crossBetween val="midCat"/>
        <c:majorUnit val="100"/>
      </c:valAx>
      <c:valAx>
        <c:axId val="1222224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de-DE"/>
                  <a:t>Z-Achse [m]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220544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70C0"/>
              </a:solidFill>
              <a:prstDash val="sysDash"/>
            </a:ln>
          </c:spPr>
          <c:trendline>
            <c:trendlineType val="log"/>
            <c:dispRSqr val="0"/>
            <c:dispEq val="0"/>
          </c:trendline>
          <c:trendline>
            <c:trendlineType val="log"/>
            <c:dispRSqr val="0"/>
            <c:dispEq val="0"/>
          </c:trendline>
          <c:trendline>
            <c:trendlineType val="log"/>
            <c:dispRSqr val="0"/>
            <c:dispEq val="0"/>
          </c:trendline>
          <c:xVal>
            <c:numRef>
              <c:f>wind!$A$2:$A$12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400</c:v>
                </c:pt>
                <c:pt idx="7">
                  <c:v>800</c:v>
                </c:pt>
                <c:pt idx="8">
                  <c:v>1500</c:v>
                </c:pt>
                <c:pt idx="9">
                  <c:v>3000</c:v>
                </c:pt>
                <c:pt idx="10">
                  <c:v>10000</c:v>
                </c:pt>
              </c:numCache>
            </c:numRef>
          </c:xVal>
          <c:yVal>
            <c:numRef>
              <c:f>wind!$B$2:$B$12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20</c:v>
                </c:pt>
                <c:pt idx="8">
                  <c:v>22</c:v>
                </c:pt>
                <c:pt idx="9">
                  <c:v>25</c:v>
                </c:pt>
                <c:pt idx="10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AA-40C9-8FB3-05D59173F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117568"/>
        <c:axId val="125119488"/>
      </c:scatterChart>
      <c:valAx>
        <c:axId val="125117568"/>
        <c:scaling>
          <c:orientation val="minMax"/>
          <c:max val="100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 baseline="0"/>
                  <a:t>Höhe [m]</a:t>
                </a:r>
                <a:endParaRPr lang="de-D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119488"/>
        <c:crosses val="autoZero"/>
        <c:crossBetween val="midCat"/>
      </c:valAx>
      <c:valAx>
        <c:axId val="1251194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de-DE"/>
                  <a:t>Windgeschwindigkeit [m/s]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11756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temp</c:v>
          </c:tx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atmo_lin!$C$2:$C$8</c:f>
              <c:numCache>
                <c:formatCode>0.00</c:formatCode>
                <c:ptCount val="7"/>
                <c:pt idx="0">
                  <c:v>299</c:v>
                </c:pt>
                <c:pt idx="1">
                  <c:v>291</c:v>
                </c:pt>
                <c:pt idx="2">
                  <c:v>288</c:v>
                </c:pt>
                <c:pt idx="3">
                  <c:v>284</c:v>
                </c:pt>
                <c:pt idx="4">
                  <c:v>283</c:v>
                </c:pt>
                <c:pt idx="5">
                  <c:v>274</c:v>
                </c:pt>
                <c:pt idx="6">
                  <c:v>264</c:v>
                </c:pt>
              </c:numCache>
            </c:numRef>
          </c:xVal>
          <c:yVal>
            <c:numRef>
              <c:f>atmo_lin!$A$2:$A$8</c:f>
              <c:numCache>
                <c:formatCode>0.0</c:formatCode>
                <c:ptCount val="7"/>
                <c:pt idx="0">
                  <c:v>0</c:v>
                </c:pt>
                <c:pt idx="1">
                  <c:v>900</c:v>
                </c:pt>
                <c:pt idx="2">
                  <c:v>1300</c:v>
                </c:pt>
                <c:pt idx="3">
                  <c:v>1800</c:v>
                </c:pt>
                <c:pt idx="4">
                  <c:v>2000</c:v>
                </c:pt>
                <c:pt idx="5">
                  <c:v>3200</c:v>
                </c:pt>
                <c:pt idx="6">
                  <c:v>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55-4B7B-98DE-66B117844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791872"/>
        <c:axId val="127794176"/>
      </c:scatterChart>
      <c:valAx>
        <c:axId val="12779187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Temp.</a:t>
                </a:r>
                <a:r>
                  <a:rPr lang="de-DE" baseline="0"/>
                  <a:t> [K]</a:t>
                </a:r>
                <a:endParaRPr lang="de-DE"/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27794176"/>
        <c:crosses val="autoZero"/>
        <c:crossBetween val="midCat"/>
      </c:valAx>
      <c:valAx>
        <c:axId val="1277941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de-DE"/>
                  <a:t>Alt</a:t>
                </a:r>
                <a:r>
                  <a:rPr lang="de-DE" baseline="0"/>
                  <a:t> [m]</a:t>
                </a:r>
                <a:endParaRPr lang="de-DE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2779187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0494840270820069"/>
          <c:y val="8.3141221930592021E-2"/>
          <c:w val="0.20134733691446749"/>
          <c:h val="8.3717191601049873E-2"/>
        </c:manualLayout>
      </c:layout>
      <c:overlay val="1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rh</c:v>
          </c:tx>
          <c:xVal>
            <c:numRef>
              <c:f>atmo_lin!$D$2:$D$8</c:f>
              <c:numCache>
                <c:formatCode>0.00</c:formatCode>
                <c:ptCount val="7"/>
                <c:pt idx="0">
                  <c:v>53.827949965744899</c:v>
                </c:pt>
                <c:pt idx="1">
                  <c:v>50.598290727186502</c:v>
                </c:pt>
                <c:pt idx="2">
                  <c:v>53.146372480307633</c:v>
                </c:pt>
                <c:pt idx="3">
                  <c:v>83.737638554909978</c:v>
                </c:pt>
                <c:pt idx="4">
                  <c:v>85.980237697572392</c:v>
                </c:pt>
                <c:pt idx="5">
                  <c:v>63.214726257373961</c:v>
                </c:pt>
                <c:pt idx="6">
                  <c:v>39.728977490444962</c:v>
                </c:pt>
              </c:numCache>
            </c:numRef>
          </c:xVal>
          <c:yVal>
            <c:numRef>
              <c:f>atmo_lin!$A$2:$A$8</c:f>
              <c:numCache>
                <c:formatCode>0.0</c:formatCode>
                <c:ptCount val="7"/>
                <c:pt idx="0">
                  <c:v>0</c:v>
                </c:pt>
                <c:pt idx="1">
                  <c:v>900</c:v>
                </c:pt>
                <c:pt idx="2">
                  <c:v>1300</c:v>
                </c:pt>
                <c:pt idx="3">
                  <c:v>1800</c:v>
                </c:pt>
                <c:pt idx="4">
                  <c:v>2000</c:v>
                </c:pt>
                <c:pt idx="5">
                  <c:v>3200</c:v>
                </c:pt>
                <c:pt idx="6">
                  <c:v>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BA-4422-8F76-774D39F8E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37024"/>
        <c:axId val="122099200"/>
      </c:scatterChart>
      <c:valAx>
        <c:axId val="11953702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humidity</a:t>
                </a:r>
                <a:r>
                  <a:rPr lang="de-DE" baseline="0"/>
                  <a:t> [%]</a:t>
                </a:r>
                <a:endParaRPr lang="de-DE"/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22099200"/>
        <c:crosses val="autoZero"/>
        <c:crossBetween val="midCat"/>
      </c:valAx>
      <c:valAx>
        <c:axId val="1220992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de-DE"/>
                  <a:t>Alt</a:t>
                </a:r>
                <a:r>
                  <a:rPr lang="de-DE" baseline="0"/>
                  <a:t> [m]</a:t>
                </a:r>
                <a:endParaRPr lang="de-DE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19537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0494840270820069"/>
          <c:y val="8.3141221930592021E-2"/>
          <c:w val="0.20134733691446749"/>
          <c:h val="8.3717191601049873E-2"/>
        </c:manualLayout>
      </c:layout>
      <c:overlay val="1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gif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14</xdr:col>
      <xdr:colOff>600075</xdr:colOff>
      <xdr:row>23</xdr:row>
      <xdr:rowOff>190500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571500</xdr:colOff>
      <xdr:row>0</xdr:row>
      <xdr:rowOff>76200</xdr:rowOff>
    </xdr:from>
    <xdr:to>
      <xdr:col>23</xdr:col>
      <xdr:colOff>309563</xdr:colOff>
      <xdr:row>23</xdr:row>
      <xdr:rowOff>171450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1162049</xdr:colOff>
      <xdr:row>0</xdr:row>
      <xdr:rowOff>190499</xdr:rowOff>
    </xdr:from>
    <xdr:to>
      <xdr:col>18</xdr:col>
      <xdr:colOff>542924</xdr:colOff>
      <xdr:row>22</xdr:row>
      <xdr:rowOff>142874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</xdr:colOff>
      <xdr:row>14</xdr:row>
      <xdr:rowOff>4762</xdr:rowOff>
    </xdr:from>
    <xdr:to>
      <xdr:col>2</xdr:col>
      <xdr:colOff>1147761</xdr:colOff>
      <xdr:row>28</xdr:row>
      <xdr:rowOff>80962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1152525</xdr:colOff>
      <xdr:row>14</xdr:row>
      <xdr:rowOff>9525</xdr:rowOff>
    </xdr:from>
    <xdr:to>
      <xdr:col>6</xdr:col>
      <xdr:colOff>500062</xdr:colOff>
      <xdr:row>28</xdr:row>
      <xdr:rowOff>85725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190500</xdr:colOff>
      <xdr:row>1</xdr:row>
      <xdr:rowOff>57150</xdr:rowOff>
    </xdr:from>
    <xdr:to>
      <xdr:col>10</xdr:col>
      <xdr:colOff>581025</xdr:colOff>
      <xdr:row>3</xdr:row>
      <xdr:rowOff>104775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5" y="257175"/>
          <a:ext cx="4962525" cy="428625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rzband_33" connectionId="1" xr16:uid="{00000000-0016-0000-0300-000001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tabSelected="1" zoomScaleNormal="100" workbookViewId="0">
      <selection activeCell="F23" sqref="F23"/>
    </sheetView>
  </sheetViews>
  <sheetFormatPr baseColWidth="10" defaultColWidth="9.140625" defaultRowHeight="15" x14ac:dyDescent="0.25"/>
  <cols>
    <col min="1" max="1" width="7" style="27" customWidth="1"/>
    <col min="2" max="3" width="7.85546875" style="27" customWidth="1"/>
    <col min="4" max="4" width="7.140625" style="27" customWidth="1"/>
  </cols>
  <sheetData>
    <row r="1" spans="1:6" ht="15.75" thickBot="1" x14ac:dyDescent="0.3">
      <c r="A1" s="30" t="s">
        <v>10</v>
      </c>
      <c r="B1" s="3" t="s">
        <v>11</v>
      </c>
      <c r="C1" s="3" t="s">
        <v>12</v>
      </c>
      <c r="D1" s="3" t="s">
        <v>13</v>
      </c>
      <c r="E1" s="26" t="s">
        <v>29</v>
      </c>
      <c r="F1" s="26" t="s">
        <v>28</v>
      </c>
    </row>
    <row r="2" spans="1:6" x14ac:dyDescent="0.25">
      <c r="A2" s="27">
        <v>0</v>
      </c>
      <c r="B2" s="4">
        <v>0</v>
      </c>
      <c r="C2" s="4">
        <v>0</v>
      </c>
      <c r="D2" s="4">
        <v>0</v>
      </c>
      <c r="E2" s="20">
        <v>0</v>
      </c>
      <c r="F2" s="20">
        <v>0</v>
      </c>
    </row>
    <row r="3" spans="1:6" x14ac:dyDescent="0.25">
      <c r="A3" s="27">
        <v>1</v>
      </c>
      <c r="B3" s="4">
        <v>1</v>
      </c>
      <c r="C3" s="4">
        <v>0</v>
      </c>
      <c r="D3" s="4">
        <v>0</v>
      </c>
      <c r="E3" s="20">
        <v>0</v>
      </c>
      <c r="F3" s="20">
        <v>0</v>
      </c>
    </row>
    <row r="4" spans="1:6" x14ac:dyDescent="0.25">
      <c r="B4" s="4"/>
      <c r="C4" s="4"/>
      <c r="D4" s="4"/>
      <c r="E4" s="20"/>
      <c r="F4" s="20"/>
    </row>
    <row r="5" spans="1:6" x14ac:dyDescent="0.25">
      <c r="B5" s="4"/>
      <c r="C5" s="4"/>
      <c r="D5" s="4"/>
      <c r="E5" s="20"/>
      <c r="F5" s="20"/>
    </row>
    <row r="6" spans="1:6" x14ac:dyDescent="0.25">
      <c r="B6" s="4"/>
      <c r="C6" s="4"/>
      <c r="D6" s="4"/>
      <c r="E6" s="20"/>
      <c r="F6" s="20"/>
    </row>
    <row r="7" spans="1:6" x14ac:dyDescent="0.25">
      <c r="B7" s="4"/>
      <c r="C7" s="4"/>
      <c r="D7" s="4"/>
      <c r="E7" s="20"/>
      <c r="F7" s="20"/>
    </row>
    <row r="8" spans="1:6" x14ac:dyDescent="0.25">
      <c r="B8" s="4"/>
      <c r="C8" s="4"/>
      <c r="D8" s="4"/>
      <c r="E8" s="20"/>
      <c r="F8" s="20"/>
    </row>
    <row r="9" spans="1:6" x14ac:dyDescent="0.25">
      <c r="B9" s="4"/>
      <c r="C9" s="4"/>
      <c r="D9" s="4"/>
      <c r="E9" s="20"/>
      <c r="F9" s="20"/>
    </row>
    <row r="10" spans="1:6" x14ac:dyDescent="0.25">
      <c r="B10" s="4"/>
      <c r="C10" s="4"/>
      <c r="D10" s="4"/>
      <c r="E10" s="20"/>
      <c r="F10" s="20"/>
    </row>
    <row r="11" spans="1:6" x14ac:dyDescent="0.25">
      <c r="B11" s="4"/>
      <c r="C11" s="4"/>
      <c r="D11" s="4"/>
      <c r="E11" s="20"/>
      <c r="F11" s="20"/>
    </row>
    <row r="12" spans="1:6" x14ac:dyDescent="0.25">
      <c r="B12" s="4"/>
      <c r="C12" s="4"/>
      <c r="D12" s="4"/>
      <c r="E12" s="20"/>
      <c r="F12" s="20"/>
    </row>
    <row r="13" spans="1:6" x14ac:dyDescent="0.25">
      <c r="B13" s="4"/>
      <c r="C13" s="4"/>
      <c r="D13" s="4"/>
      <c r="E13" s="20"/>
      <c r="F13" s="20"/>
    </row>
    <row r="14" spans="1:6" x14ac:dyDescent="0.25">
      <c r="B14" s="4"/>
      <c r="C14" s="4"/>
      <c r="D14" s="4"/>
      <c r="E14" s="20"/>
      <c r="F14" s="20"/>
    </row>
    <row r="15" spans="1:6" x14ac:dyDescent="0.25">
      <c r="B15" s="4"/>
      <c r="C15" s="4"/>
      <c r="D15" s="4"/>
      <c r="E15" s="20"/>
      <c r="F15" s="20"/>
    </row>
    <row r="16" spans="1:6" x14ac:dyDescent="0.25">
      <c r="B16" s="4"/>
      <c r="C16" s="4"/>
      <c r="D16" s="4"/>
      <c r="E16" s="20"/>
      <c r="F16" s="20"/>
    </row>
    <row r="17" spans="2:15" x14ac:dyDescent="0.25">
      <c r="B17" s="4"/>
      <c r="C17" s="4"/>
      <c r="D17" s="4"/>
      <c r="E17" s="20"/>
      <c r="F17" s="20"/>
    </row>
    <row r="18" spans="2:15" x14ac:dyDescent="0.25">
      <c r="B18" s="4"/>
      <c r="C18" s="4"/>
      <c r="D18" s="4"/>
      <c r="E18" s="20"/>
      <c r="F18" s="20"/>
    </row>
    <row r="24" spans="2:15" ht="15.75" thickBot="1" x14ac:dyDescent="0.3"/>
    <row r="25" spans="2:15" ht="15.75" thickBot="1" x14ac:dyDescent="0.3">
      <c r="H25" s="33" t="s">
        <v>17</v>
      </c>
      <c r="I25" s="34"/>
      <c r="J25" s="34"/>
      <c r="K25" s="34"/>
      <c r="L25" s="34"/>
      <c r="M25" s="34"/>
      <c r="N25" s="34"/>
      <c r="O25" s="35"/>
    </row>
    <row r="26" spans="2:15" x14ac:dyDescent="0.25">
      <c r="H26" s="36" t="s">
        <v>18</v>
      </c>
      <c r="I26" s="37" t="s">
        <v>19</v>
      </c>
      <c r="J26" s="38" t="s">
        <v>20</v>
      </c>
      <c r="K26" s="38" t="s">
        <v>21</v>
      </c>
      <c r="O26" s="39"/>
    </row>
    <row r="27" spans="2:15" ht="15.75" thickBot="1" x14ac:dyDescent="0.3">
      <c r="H27" s="40">
        <v>46.631450000000001</v>
      </c>
      <c r="I27" s="41">
        <v>14.44548</v>
      </c>
      <c r="J27" s="41">
        <v>440</v>
      </c>
      <c r="K27" s="41">
        <v>0</v>
      </c>
      <c r="L27" s="42"/>
      <c r="M27" s="42"/>
      <c r="N27" s="42"/>
      <c r="O27" s="4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"/>
  <sheetViews>
    <sheetView zoomScale="90" zoomScaleNormal="90" workbookViewId="0">
      <selection activeCell="C34" sqref="C34"/>
    </sheetView>
  </sheetViews>
  <sheetFormatPr baseColWidth="10" defaultColWidth="9.140625" defaultRowHeight="15" x14ac:dyDescent="0.25"/>
  <cols>
    <col min="1" max="1" width="10.85546875" style="27" customWidth="1"/>
    <col min="2" max="2" width="18.42578125" style="27" customWidth="1"/>
    <col min="3" max="3" width="26.28515625" customWidth="1"/>
    <col min="4" max="4" width="17.42578125" style="27" customWidth="1"/>
  </cols>
  <sheetData>
    <row r="1" spans="1:4" ht="15.75" thickBot="1" x14ac:dyDescent="0.3">
      <c r="A1" s="30" t="s">
        <v>4</v>
      </c>
      <c r="B1" s="30" t="s">
        <v>2</v>
      </c>
      <c r="C1" s="44" t="s">
        <v>32</v>
      </c>
      <c r="D1" s="30" t="s">
        <v>3</v>
      </c>
    </row>
    <row r="2" spans="1:4" ht="15.75" thickBot="1" x14ac:dyDescent="0.3">
      <c r="A2" s="27">
        <v>0</v>
      </c>
      <c r="B2" s="27">
        <v>0</v>
      </c>
      <c r="C2" s="45">
        <v>240</v>
      </c>
      <c r="D2" s="27">
        <f>4*A2^0.2</f>
        <v>0</v>
      </c>
    </row>
    <row r="3" spans="1:4" x14ac:dyDescent="0.25">
      <c r="A3" s="27">
        <v>10</v>
      </c>
      <c r="B3" s="27">
        <v>5</v>
      </c>
      <c r="D3" s="27">
        <f t="shared" ref="D3:D12" si="0">4*A3^0.2</f>
        <v>6.3395727698444544</v>
      </c>
    </row>
    <row r="4" spans="1:4" x14ac:dyDescent="0.25">
      <c r="A4" s="27">
        <v>20</v>
      </c>
      <c r="B4" s="27">
        <v>8</v>
      </c>
      <c r="D4" s="27">
        <f t="shared" si="0"/>
        <v>7.282256812104321</v>
      </c>
    </row>
    <row r="5" spans="1:4" x14ac:dyDescent="0.25">
      <c r="A5" s="27">
        <v>50</v>
      </c>
      <c r="B5" s="27">
        <v>10</v>
      </c>
      <c r="D5" s="27">
        <f t="shared" si="0"/>
        <v>8.7468965915462249</v>
      </c>
    </row>
    <row r="6" spans="1:4" x14ac:dyDescent="0.25">
      <c r="A6" s="27">
        <v>100</v>
      </c>
      <c r="B6" s="27">
        <v>12</v>
      </c>
      <c r="D6" s="27">
        <f t="shared" si="0"/>
        <v>10.047545726038322</v>
      </c>
    </row>
    <row r="7" spans="1:4" x14ac:dyDescent="0.25">
      <c r="A7" s="27">
        <v>200</v>
      </c>
      <c r="B7" s="27">
        <v>15</v>
      </c>
      <c r="D7" s="27">
        <f t="shared" si="0"/>
        <v>11.541599247257707</v>
      </c>
    </row>
    <row r="8" spans="1:4" x14ac:dyDescent="0.25">
      <c r="A8" s="27">
        <v>400</v>
      </c>
      <c r="B8" s="27">
        <v>18</v>
      </c>
      <c r="D8" s="27">
        <f t="shared" si="0"/>
        <v>13.257816069359947</v>
      </c>
    </row>
    <row r="9" spans="1:4" x14ac:dyDescent="0.25">
      <c r="A9" s="27">
        <v>800</v>
      </c>
      <c r="B9" s="27">
        <v>20</v>
      </c>
      <c r="D9" s="27">
        <f t="shared" si="0"/>
        <v>15.229231509727027</v>
      </c>
    </row>
    <row r="10" spans="1:4" x14ac:dyDescent="0.25">
      <c r="A10" s="27">
        <v>1500</v>
      </c>
      <c r="B10" s="27">
        <v>22</v>
      </c>
      <c r="D10" s="27">
        <f t="shared" si="0"/>
        <v>17.269439535066223</v>
      </c>
    </row>
    <row r="11" spans="1:4" x14ac:dyDescent="0.25">
      <c r="A11" s="27">
        <v>3000</v>
      </c>
      <c r="B11" s="27">
        <v>25</v>
      </c>
      <c r="D11" s="27">
        <f t="shared" si="0"/>
        <v>19.837376785651326</v>
      </c>
    </row>
    <row r="12" spans="1:4" x14ac:dyDescent="0.25">
      <c r="A12" s="27">
        <v>10000</v>
      </c>
      <c r="B12" s="27">
        <v>32</v>
      </c>
      <c r="D12" s="27">
        <f t="shared" si="0"/>
        <v>25.238293779207737</v>
      </c>
    </row>
    <row r="25" spans="12:15" x14ac:dyDescent="0.25">
      <c r="L25" s="46" t="s">
        <v>6</v>
      </c>
      <c r="M25" s="46" t="s">
        <v>7</v>
      </c>
    </row>
    <row r="26" spans="12:15" x14ac:dyDescent="0.25">
      <c r="L26" s="46" t="s">
        <v>8</v>
      </c>
      <c r="M26" s="46"/>
      <c r="N26" s="46" t="s">
        <v>9</v>
      </c>
      <c r="O26" s="4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4"/>
  <sheetViews>
    <sheetView workbookViewId="0">
      <selection activeCell="E4" sqref="E4"/>
    </sheetView>
  </sheetViews>
  <sheetFormatPr baseColWidth="10" defaultRowHeight="15" x14ac:dyDescent="0.25"/>
  <cols>
    <col min="1" max="1" width="24.28515625" style="18" customWidth="1"/>
    <col min="2" max="2" width="27.140625" style="22" customWidth="1"/>
    <col min="3" max="3" width="24.28515625" style="20" customWidth="1"/>
  </cols>
  <sheetData>
    <row r="1" spans="1:3" ht="15.75" thickBot="1" x14ac:dyDescent="0.3">
      <c r="A1" s="17" t="s">
        <v>16</v>
      </c>
      <c r="B1" s="21" t="s">
        <v>14</v>
      </c>
      <c r="C1" s="19" t="s">
        <v>15</v>
      </c>
    </row>
    <row r="2" spans="1:3" x14ac:dyDescent="0.25">
      <c r="A2" s="18">
        <v>11</v>
      </c>
      <c r="B2" s="22">
        <v>12.5</v>
      </c>
      <c r="C2" s="20">
        <v>14</v>
      </c>
    </row>
    <row r="3" spans="1:3" x14ac:dyDescent="0.25">
      <c r="A3" s="18">
        <v>14</v>
      </c>
      <c r="B3" s="22">
        <v>16</v>
      </c>
      <c r="C3" s="20">
        <v>18</v>
      </c>
    </row>
    <row r="4" spans="1:3" x14ac:dyDescent="0.25">
      <c r="A4" s="18">
        <v>18</v>
      </c>
      <c r="B4" s="22">
        <v>20</v>
      </c>
      <c r="C4" s="20">
        <v>22.4</v>
      </c>
    </row>
    <row r="5" spans="1:3" x14ac:dyDescent="0.25">
      <c r="A5" s="18">
        <v>22.4</v>
      </c>
      <c r="B5" s="22">
        <v>25</v>
      </c>
      <c r="C5" s="20">
        <v>28</v>
      </c>
    </row>
    <row r="6" spans="1:3" x14ac:dyDescent="0.25">
      <c r="A6" s="18">
        <v>28</v>
      </c>
      <c r="B6" s="22">
        <v>31.5</v>
      </c>
      <c r="C6" s="20">
        <v>35.5</v>
      </c>
    </row>
    <row r="7" spans="1:3" x14ac:dyDescent="0.25">
      <c r="A7" s="18">
        <v>35.5</v>
      </c>
      <c r="B7" s="22">
        <v>40</v>
      </c>
      <c r="C7" s="20">
        <v>45</v>
      </c>
    </row>
    <row r="8" spans="1:3" x14ac:dyDescent="0.25">
      <c r="A8" s="18">
        <v>45</v>
      </c>
      <c r="B8" s="22">
        <v>50</v>
      </c>
      <c r="C8" s="20">
        <v>56</v>
      </c>
    </row>
    <row r="9" spans="1:3" x14ac:dyDescent="0.25">
      <c r="A9" s="18">
        <v>56</v>
      </c>
      <c r="B9" s="22">
        <v>63</v>
      </c>
      <c r="C9" s="20">
        <v>71</v>
      </c>
    </row>
    <row r="10" spans="1:3" x14ac:dyDescent="0.25">
      <c r="A10" s="18">
        <v>71</v>
      </c>
      <c r="B10" s="22">
        <v>80</v>
      </c>
      <c r="C10" s="20">
        <v>90</v>
      </c>
    </row>
    <row r="11" spans="1:3" x14ac:dyDescent="0.25">
      <c r="A11" s="18">
        <v>90</v>
      </c>
      <c r="B11" s="22">
        <v>100</v>
      </c>
      <c r="C11" s="20">
        <v>112</v>
      </c>
    </row>
    <row r="12" spans="1:3" x14ac:dyDescent="0.25">
      <c r="A12" s="18">
        <v>112</v>
      </c>
      <c r="B12" s="22">
        <v>125</v>
      </c>
      <c r="C12" s="20">
        <v>140</v>
      </c>
    </row>
    <row r="13" spans="1:3" x14ac:dyDescent="0.25">
      <c r="A13" s="18">
        <v>140</v>
      </c>
      <c r="B13" s="22">
        <v>160</v>
      </c>
      <c r="C13" s="20">
        <v>180</v>
      </c>
    </row>
    <row r="14" spans="1:3" x14ac:dyDescent="0.25">
      <c r="A14" s="18">
        <v>180</v>
      </c>
      <c r="B14" s="22">
        <v>200</v>
      </c>
      <c r="C14" s="20">
        <v>224</v>
      </c>
    </row>
    <row r="15" spans="1:3" x14ac:dyDescent="0.25">
      <c r="A15" s="18">
        <v>224</v>
      </c>
      <c r="B15" s="22">
        <v>250</v>
      </c>
      <c r="C15" s="20">
        <v>280</v>
      </c>
    </row>
    <row r="16" spans="1:3" x14ac:dyDescent="0.25">
      <c r="A16" s="18">
        <v>280</v>
      </c>
      <c r="B16" s="22">
        <v>315</v>
      </c>
      <c r="C16" s="20">
        <v>355</v>
      </c>
    </row>
    <row r="17" spans="1:3" x14ac:dyDescent="0.25">
      <c r="A17" s="18">
        <v>355</v>
      </c>
      <c r="B17" s="22">
        <v>400</v>
      </c>
      <c r="C17" s="20">
        <v>450</v>
      </c>
    </row>
    <row r="18" spans="1:3" x14ac:dyDescent="0.25">
      <c r="A18" s="18">
        <v>450</v>
      </c>
      <c r="B18" s="22">
        <v>500</v>
      </c>
      <c r="C18" s="20">
        <v>560</v>
      </c>
    </row>
    <row r="19" spans="1:3" x14ac:dyDescent="0.25">
      <c r="A19" s="18">
        <v>560</v>
      </c>
      <c r="B19" s="22">
        <v>630</v>
      </c>
      <c r="C19" s="20">
        <v>710</v>
      </c>
    </row>
    <row r="20" spans="1:3" x14ac:dyDescent="0.25">
      <c r="A20" s="18">
        <v>710</v>
      </c>
      <c r="B20" s="22">
        <v>800</v>
      </c>
      <c r="C20" s="20">
        <v>900</v>
      </c>
    </row>
    <row r="21" spans="1:3" x14ac:dyDescent="0.25">
      <c r="A21" s="18">
        <v>900</v>
      </c>
      <c r="B21" s="22">
        <v>1000</v>
      </c>
      <c r="C21" s="20">
        <v>1120</v>
      </c>
    </row>
    <row r="22" spans="1:3" x14ac:dyDescent="0.25">
      <c r="A22" s="18">
        <v>1120</v>
      </c>
      <c r="B22" s="22">
        <v>1250</v>
      </c>
      <c r="C22" s="20">
        <v>1400</v>
      </c>
    </row>
    <row r="23" spans="1:3" x14ac:dyDescent="0.25">
      <c r="A23" s="18">
        <v>1400</v>
      </c>
      <c r="B23" s="22">
        <v>1600</v>
      </c>
      <c r="C23" s="20">
        <v>1800</v>
      </c>
    </row>
    <row r="24" spans="1:3" x14ac:dyDescent="0.25">
      <c r="A24" s="18">
        <v>1800</v>
      </c>
      <c r="B24" s="22">
        <v>2000</v>
      </c>
      <c r="C24" s="20">
        <v>2240</v>
      </c>
    </row>
    <row r="25" spans="1:3" x14ac:dyDescent="0.25">
      <c r="A25" s="18">
        <v>2240</v>
      </c>
      <c r="B25" s="22">
        <v>2500</v>
      </c>
      <c r="C25" s="20">
        <v>2800</v>
      </c>
    </row>
    <row r="26" spans="1:3" x14ac:dyDescent="0.25">
      <c r="A26" s="18">
        <v>2800</v>
      </c>
      <c r="B26" s="22">
        <v>3150</v>
      </c>
      <c r="C26" s="20">
        <v>3550</v>
      </c>
    </row>
    <row r="27" spans="1:3" x14ac:dyDescent="0.25">
      <c r="A27" s="18">
        <v>3550</v>
      </c>
      <c r="B27" s="22">
        <v>4000</v>
      </c>
      <c r="C27" s="20">
        <v>4500</v>
      </c>
    </row>
    <row r="28" spans="1:3" x14ac:dyDescent="0.25">
      <c r="A28" s="18">
        <v>4500</v>
      </c>
      <c r="B28" s="22">
        <v>5000</v>
      </c>
      <c r="C28" s="20">
        <v>5600</v>
      </c>
    </row>
    <row r="29" spans="1:3" x14ac:dyDescent="0.25">
      <c r="A29" s="18">
        <v>5600</v>
      </c>
      <c r="B29" s="22">
        <v>6300</v>
      </c>
      <c r="C29" s="20">
        <v>7100</v>
      </c>
    </row>
    <row r="30" spans="1:3" x14ac:dyDescent="0.25">
      <c r="A30" s="18">
        <v>7100</v>
      </c>
      <c r="B30" s="22">
        <v>8000</v>
      </c>
      <c r="C30" s="20">
        <v>9000</v>
      </c>
    </row>
    <row r="31" spans="1:3" x14ac:dyDescent="0.25">
      <c r="A31" s="18">
        <v>9000</v>
      </c>
      <c r="B31" s="22">
        <v>10000</v>
      </c>
      <c r="C31" s="20">
        <v>11200</v>
      </c>
    </row>
    <row r="32" spans="1:3" x14ac:dyDescent="0.25">
      <c r="A32" s="18">
        <v>11200</v>
      </c>
      <c r="B32" s="22">
        <v>12500</v>
      </c>
      <c r="C32" s="20">
        <v>14000</v>
      </c>
    </row>
    <row r="33" spans="1:3" x14ac:dyDescent="0.25">
      <c r="A33" s="18">
        <v>14000</v>
      </c>
      <c r="B33" s="22">
        <v>16000</v>
      </c>
      <c r="C33" s="20">
        <v>18000</v>
      </c>
    </row>
    <row r="34" spans="1:3" x14ac:dyDescent="0.25">
      <c r="A34" s="18">
        <v>18000</v>
      </c>
      <c r="B34" s="22">
        <v>20000</v>
      </c>
      <c r="C34" s="20">
        <v>22400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I3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15.7109375" style="5" customWidth="1"/>
    <col min="2" max="2" width="9.140625" style="6"/>
    <col min="3" max="3" width="9.140625" style="7"/>
  </cols>
  <sheetData>
    <row r="1" spans="1:87" s="11" customFormat="1" x14ac:dyDescent="0.25">
      <c r="A1" s="8" t="s">
        <v>0</v>
      </c>
      <c r="B1" s="9">
        <v>0.125</v>
      </c>
      <c r="C1" s="10" t="s">
        <v>1</v>
      </c>
      <c r="D1" s="13" t="s">
        <v>5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2"/>
    </row>
    <row r="2" spans="1:87" s="25" customFormat="1" x14ac:dyDescent="0.25">
      <c r="A2" s="15" t="s">
        <v>22</v>
      </c>
      <c r="B2" s="16">
        <v>200</v>
      </c>
      <c r="C2" s="23" t="s">
        <v>23</v>
      </c>
      <c r="D2" s="24" t="s">
        <v>24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</row>
    <row r="3" spans="1:87" s="25" customFormat="1" x14ac:dyDescent="0.25">
      <c r="A3" s="15" t="s">
        <v>27</v>
      </c>
      <c r="B3" s="16">
        <v>30</v>
      </c>
      <c r="C3" s="23" t="s">
        <v>25</v>
      </c>
      <c r="D3" s="24" t="s">
        <v>26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0"/>
  <sheetViews>
    <sheetView workbookViewId="0">
      <selection activeCell="K23" sqref="K23"/>
    </sheetView>
  </sheetViews>
  <sheetFormatPr baseColWidth="10" defaultRowHeight="15" x14ac:dyDescent="0.25"/>
  <cols>
    <col min="1" max="1" width="14.28515625" style="27" customWidth="1"/>
    <col min="2" max="3" width="17.85546875" style="27" customWidth="1"/>
    <col min="4" max="4" width="17.85546875" customWidth="1"/>
  </cols>
  <sheetData>
    <row r="1" spans="1:4" ht="15.75" thickBot="1" x14ac:dyDescent="0.3">
      <c r="A1" s="30" t="s">
        <v>4</v>
      </c>
      <c r="B1" s="30" t="s">
        <v>33</v>
      </c>
      <c r="C1" s="31" t="s">
        <v>34</v>
      </c>
      <c r="D1" s="32" t="s">
        <v>35</v>
      </c>
    </row>
    <row r="2" spans="1:4" x14ac:dyDescent="0.25">
      <c r="A2" s="47">
        <v>0</v>
      </c>
      <c r="B2" s="48">
        <v>13</v>
      </c>
      <c r="C2" s="28">
        <v>299</v>
      </c>
      <c r="D2" s="29">
        <f>(B2*(C2))/(13.2471*EXP((17.67*(C2-273.15))/(243.5+C2-273.15)))</f>
        <v>53.827949965744899</v>
      </c>
    </row>
    <row r="3" spans="1:4" x14ac:dyDescent="0.25">
      <c r="A3" s="47">
        <v>900</v>
      </c>
      <c r="B3" s="48">
        <v>7.7</v>
      </c>
      <c r="C3" s="28">
        <v>291</v>
      </c>
      <c r="D3" s="29">
        <f t="shared" ref="D3:D8" si="0">(B3*(C3))/(13.2471*EXP((17.67*(C3-273.15))/(243.5+C3-273.15)))</f>
        <v>50.598290727186502</v>
      </c>
    </row>
    <row r="4" spans="1:4" x14ac:dyDescent="0.25">
      <c r="A4" s="47">
        <v>1300</v>
      </c>
      <c r="B4" s="48">
        <v>6.75</v>
      </c>
      <c r="C4" s="28">
        <v>288</v>
      </c>
      <c r="D4" s="29">
        <f t="shared" si="0"/>
        <v>53.146372480307633</v>
      </c>
    </row>
    <row r="5" spans="1:4" x14ac:dyDescent="0.25">
      <c r="A5" s="47">
        <v>1800</v>
      </c>
      <c r="B5" s="48">
        <v>8.3000000000000007</v>
      </c>
      <c r="C5" s="28">
        <v>284</v>
      </c>
      <c r="D5" s="29">
        <f t="shared" si="0"/>
        <v>83.737638554909978</v>
      </c>
    </row>
    <row r="6" spans="1:4" x14ac:dyDescent="0.25">
      <c r="A6" s="47">
        <v>2000</v>
      </c>
      <c r="B6" s="48">
        <v>8</v>
      </c>
      <c r="C6" s="28">
        <v>283</v>
      </c>
      <c r="D6" s="29">
        <f t="shared" si="0"/>
        <v>85.980237697572392</v>
      </c>
    </row>
    <row r="7" spans="1:4" x14ac:dyDescent="0.25">
      <c r="A7" s="47">
        <v>3200</v>
      </c>
      <c r="B7" s="48">
        <v>3.25</v>
      </c>
      <c r="C7" s="28">
        <v>274</v>
      </c>
      <c r="D7" s="29">
        <f t="shared" si="0"/>
        <v>63.214726257373961</v>
      </c>
    </row>
    <row r="8" spans="1:4" x14ac:dyDescent="0.25">
      <c r="A8" s="47">
        <v>5000</v>
      </c>
      <c r="B8" s="48">
        <v>1</v>
      </c>
      <c r="C8" s="28">
        <v>264</v>
      </c>
      <c r="D8" s="29">
        <f t="shared" si="0"/>
        <v>39.728977490444962</v>
      </c>
    </row>
    <row r="9" spans="1:4" x14ac:dyDescent="0.25">
      <c r="A9" s="47"/>
      <c r="B9" s="48"/>
      <c r="C9" s="48"/>
      <c r="D9" s="48"/>
    </row>
    <row r="10" spans="1:4" x14ac:dyDescent="0.25">
      <c r="A10" s="47"/>
      <c r="B10" s="48"/>
      <c r="C10" s="48"/>
      <c r="D10" s="48"/>
    </row>
    <row r="11" spans="1:4" x14ac:dyDescent="0.25">
      <c r="A11" s="47"/>
      <c r="B11" s="48"/>
      <c r="C11" s="48"/>
      <c r="D11" s="48"/>
    </row>
    <row r="12" spans="1:4" x14ac:dyDescent="0.25">
      <c r="A12" s="47"/>
      <c r="B12" s="48"/>
      <c r="C12" s="48"/>
      <c r="D12" s="48"/>
    </row>
    <row r="13" spans="1:4" x14ac:dyDescent="0.25">
      <c r="A13" s="47"/>
      <c r="B13" s="48"/>
      <c r="C13" s="48"/>
      <c r="D13" s="48"/>
    </row>
    <row r="14" spans="1:4" x14ac:dyDescent="0.25">
      <c r="A14" s="47"/>
      <c r="B14" s="48"/>
      <c r="C14" s="48"/>
      <c r="D14" s="48"/>
    </row>
    <row r="15" spans="1:4" x14ac:dyDescent="0.25">
      <c r="A15" s="47"/>
      <c r="B15" s="48"/>
      <c r="C15" s="48"/>
      <c r="D15" s="48"/>
    </row>
    <row r="16" spans="1:4" x14ac:dyDescent="0.25">
      <c r="A16" s="47"/>
      <c r="B16" s="48"/>
      <c r="C16" s="48"/>
      <c r="D16" s="48"/>
    </row>
    <row r="17" spans="1:4" x14ac:dyDescent="0.25">
      <c r="A17" s="47"/>
      <c r="B17" s="48"/>
      <c r="C17" s="48"/>
      <c r="D17" s="48"/>
    </row>
    <row r="18" spans="1:4" x14ac:dyDescent="0.25">
      <c r="A18" s="47"/>
      <c r="B18" s="48"/>
      <c r="C18" s="48"/>
      <c r="D18" s="48"/>
    </row>
    <row r="19" spans="1:4" x14ac:dyDescent="0.25">
      <c r="A19" s="47"/>
      <c r="B19" s="48"/>
      <c r="C19" s="48"/>
      <c r="D19" s="48"/>
    </row>
    <row r="20" spans="1:4" x14ac:dyDescent="0.25">
      <c r="A20" s="47"/>
      <c r="B20" s="48"/>
      <c r="C20" s="48"/>
      <c r="D20" s="48"/>
    </row>
    <row r="21" spans="1:4" x14ac:dyDescent="0.25">
      <c r="A21" s="47"/>
      <c r="B21" s="48"/>
      <c r="C21" s="48"/>
      <c r="D21" s="48"/>
    </row>
    <row r="22" spans="1:4" x14ac:dyDescent="0.25">
      <c r="A22" s="47"/>
      <c r="B22" s="48"/>
      <c r="C22" s="48"/>
      <c r="D22" s="48"/>
    </row>
    <row r="23" spans="1:4" x14ac:dyDescent="0.25">
      <c r="A23" s="47"/>
      <c r="B23" s="48"/>
      <c r="C23" s="48"/>
      <c r="D23" s="48"/>
    </row>
    <row r="24" spans="1:4" x14ac:dyDescent="0.25">
      <c r="A24" s="47"/>
      <c r="B24" s="48"/>
      <c r="C24" s="48"/>
      <c r="D24" s="48"/>
    </row>
    <row r="25" spans="1:4" x14ac:dyDescent="0.25">
      <c r="A25" s="47"/>
      <c r="B25" s="48"/>
      <c r="C25" s="48"/>
      <c r="D25" s="48"/>
    </row>
    <row r="26" spans="1:4" x14ac:dyDescent="0.25">
      <c r="A26" s="47"/>
      <c r="B26" s="48"/>
      <c r="C26" s="48"/>
      <c r="D26" s="48"/>
    </row>
    <row r="27" spans="1:4" x14ac:dyDescent="0.25">
      <c r="A27" s="47"/>
      <c r="B27" s="48"/>
      <c r="C27" s="48"/>
      <c r="D27" s="48"/>
    </row>
    <row r="28" spans="1:4" x14ac:dyDescent="0.25">
      <c r="A28" s="47"/>
      <c r="B28" s="48"/>
      <c r="C28" s="48"/>
      <c r="D28" s="48"/>
    </row>
    <row r="29" spans="1:4" x14ac:dyDescent="0.25">
      <c r="A29" s="47"/>
      <c r="B29" s="48"/>
      <c r="C29" s="48"/>
      <c r="D29" s="48"/>
    </row>
    <row r="30" spans="1:4" x14ac:dyDescent="0.25">
      <c r="A30" s="47"/>
      <c r="B30" s="48"/>
      <c r="C30" s="48"/>
      <c r="D30" s="48"/>
    </row>
    <row r="31" spans="1:4" x14ac:dyDescent="0.25">
      <c r="A31" s="47"/>
      <c r="B31" s="48"/>
      <c r="C31" s="48"/>
      <c r="D31" s="48"/>
    </row>
    <row r="32" spans="1:4" x14ac:dyDescent="0.25">
      <c r="A32" s="47"/>
      <c r="B32" s="48"/>
      <c r="C32" s="48"/>
      <c r="D32" s="48"/>
    </row>
    <row r="33" spans="1:4" x14ac:dyDescent="0.25">
      <c r="A33" s="47"/>
      <c r="B33" s="48"/>
      <c r="C33" s="48"/>
      <c r="D33" s="48"/>
    </row>
    <row r="34" spans="1:4" x14ac:dyDescent="0.25">
      <c r="A34" s="47"/>
      <c r="B34" s="48"/>
      <c r="C34" s="48"/>
      <c r="D34" s="48"/>
    </row>
    <row r="35" spans="1:4" x14ac:dyDescent="0.25">
      <c r="A35" s="47"/>
      <c r="B35" s="48"/>
      <c r="C35" s="48"/>
      <c r="D35" s="48"/>
    </row>
    <row r="36" spans="1:4" x14ac:dyDescent="0.25">
      <c r="A36" s="47"/>
      <c r="B36" s="48"/>
      <c r="C36" s="48"/>
      <c r="D36" s="48"/>
    </row>
    <row r="37" spans="1:4" x14ac:dyDescent="0.25">
      <c r="A37" s="47"/>
      <c r="B37" s="48"/>
      <c r="C37" s="48"/>
      <c r="D37" s="48"/>
    </row>
    <row r="38" spans="1:4" x14ac:dyDescent="0.25">
      <c r="A38" s="47"/>
      <c r="B38" s="48"/>
      <c r="C38" s="48"/>
      <c r="D38" s="48"/>
    </row>
    <row r="39" spans="1:4" x14ac:dyDescent="0.25">
      <c r="A39" s="47"/>
      <c r="B39" s="48"/>
      <c r="C39" s="48"/>
      <c r="D39" s="48"/>
    </row>
    <row r="40" spans="1:4" x14ac:dyDescent="0.25">
      <c r="A40" s="47"/>
      <c r="B40" s="48"/>
      <c r="C40" s="48"/>
      <c r="D40" s="48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>
      <selection activeCell="C2" sqref="C2:C3"/>
    </sheetView>
  </sheetViews>
  <sheetFormatPr baseColWidth="10" defaultRowHeight="15" x14ac:dyDescent="0.25"/>
  <cols>
    <col min="1" max="1" width="9.7109375" style="2" customWidth="1"/>
    <col min="2" max="3" width="11.42578125" style="27"/>
  </cols>
  <sheetData>
    <row r="1" spans="1:3" ht="15.75" thickBot="1" x14ac:dyDescent="0.3">
      <c r="A1" s="1" t="s">
        <v>10</v>
      </c>
      <c r="B1" s="27" t="s">
        <v>31</v>
      </c>
      <c r="C1" s="27" t="s">
        <v>30</v>
      </c>
    </row>
    <row r="2" spans="1:3" x14ac:dyDescent="0.25">
      <c r="A2" s="2">
        <v>0</v>
      </c>
      <c r="B2" s="27">
        <v>12000</v>
      </c>
      <c r="C2" s="27">
        <v>42</v>
      </c>
    </row>
    <row r="3" spans="1:3" x14ac:dyDescent="0.25">
      <c r="A3" s="2">
        <v>1</v>
      </c>
      <c r="B3" s="27">
        <v>12000</v>
      </c>
      <c r="C3" s="27">
        <v>42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1</vt:i4>
      </vt:variant>
    </vt:vector>
  </HeadingPairs>
  <TitlesOfParts>
    <vt:vector size="7" baseType="lpstr">
      <vt:lpstr>wp</vt:lpstr>
      <vt:lpstr>wind</vt:lpstr>
      <vt:lpstr>spectrum</vt:lpstr>
      <vt:lpstr>settings</vt:lpstr>
      <vt:lpstr>atmo_lin</vt:lpstr>
      <vt:lpstr>ac_state</vt:lpstr>
      <vt:lpstr>spectrum!Terzband_33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2026-02-08T15:59:15Z</dcterms:modified>
</cp:coreProperties>
</file>